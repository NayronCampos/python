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 MPX\python\SIGO\"/>
    </mc:Choice>
  </mc:AlternateContent>
  <xr:revisionPtr revIDLastSave="0" documentId="8_{B3B49738-B840-4245-8C8D-EAF83B984260}" xr6:coauthVersionLast="47" xr6:coauthVersionMax="47" xr10:uidLastSave="{00000000-0000-0000-0000-000000000000}"/>
  <bookViews>
    <workbookView xWindow="-120" yWindow="-120" windowWidth="29040" windowHeight="15720" xr2:uid="{2BEFB520-50C8-484B-92AA-969E2B1397C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" i="1" l="1"/>
  <c r="O4" i="1"/>
  <c r="L4" i="1"/>
  <c r="M4" i="1" s="1"/>
  <c r="K4" i="1"/>
  <c r="E4" i="1"/>
  <c r="O3" i="1"/>
  <c r="Q3" i="1" s="1"/>
  <c r="J3" i="1"/>
  <c r="L3" i="1" s="1"/>
  <c r="M3" i="1" s="1"/>
  <c r="E3" i="1"/>
  <c r="R2" i="1"/>
  <c r="Q2" i="1"/>
  <c r="P2" i="1"/>
  <c r="U2" i="1" s="1"/>
  <c r="O2" i="1"/>
  <c r="V2" i="1" s="1"/>
  <c r="J2" i="1"/>
  <c r="X2" i="1" s="1"/>
  <c r="E2" i="1"/>
  <c r="X3" i="1" l="1"/>
  <c r="K3" i="1"/>
  <c r="P3" i="1"/>
  <c r="R3" i="1"/>
  <c r="P4" i="1"/>
  <c r="Q4" i="1"/>
  <c r="K2" i="1"/>
  <c r="L2" i="1"/>
  <c r="M2" i="1" s="1"/>
  <c r="U3" i="1" l="1"/>
  <c r="V3" i="1" s="1"/>
  <c r="U4" i="1"/>
  <c r="V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Financeiro</author>
  </authors>
  <commentList>
    <comment ref="H4" authorId="0" shapeId="0" xr:uid="{BB4FE67F-E166-4C3C-BB18-FCFB1C880A00}">
      <text>
        <r>
          <rPr>
            <b/>
            <sz val="9"/>
            <color indexed="81"/>
            <rFont val="Segoe UI"/>
            <family val="2"/>
          </rPr>
          <t>Financeiro:</t>
        </r>
        <r>
          <rPr>
            <sz val="9"/>
            <color indexed="81"/>
            <rFont val="Segoe UI"/>
            <family val="2"/>
          </rPr>
          <t xml:space="preserve">
Recebimento 02 de Março 2026</t>
        </r>
      </text>
    </comment>
  </commentList>
</comments>
</file>

<file path=xl/sharedStrings.xml><?xml version="1.0" encoding="utf-8"?>
<sst xmlns="http://schemas.openxmlformats.org/spreadsheetml/2006/main" count="29" uniqueCount="25">
  <si>
    <t>FHEMIG - João Penido (JF)</t>
  </si>
  <si>
    <t>Alexandre</t>
  </si>
  <si>
    <t>DER - GOVERNADOR VALADARES</t>
  </si>
  <si>
    <t> </t>
  </si>
  <si>
    <t>Matheus</t>
  </si>
  <si>
    <t>SECRETARIA</t>
  </si>
  <si>
    <t>CONTRATO</t>
  </si>
  <si>
    <t>RESPONSÁVEL</t>
  </si>
  <si>
    <t>MÊS REFERÊNCIA</t>
  </si>
  <si>
    <t>MÊS FATURAMENTO</t>
  </si>
  <si>
    <t>DATA EMISSÃO NOTA FISCAL</t>
  </si>
  <si>
    <t>NF</t>
  </si>
  <si>
    <t>VALOR BRUTO</t>
  </si>
  <si>
    <t>DATA RECEBIMENTO</t>
  </si>
  <si>
    <t>VALOR RECEBIDO</t>
  </si>
  <si>
    <t>TEMPO RECEBIMENTO</t>
  </si>
  <si>
    <t>VALOR DESCONTO</t>
  </si>
  <si>
    <t>PERCENTUAL DESCONTO</t>
  </si>
  <si>
    <t>ISS</t>
  </si>
  <si>
    <t>IRRF</t>
  </si>
  <si>
    <t>CP</t>
  </si>
  <si>
    <t>CSLL</t>
  </si>
  <si>
    <t>PIS/COFINS</t>
  </si>
  <si>
    <t>TOTAL IMPOSTOS</t>
  </si>
  <si>
    <t>VALOR LIQUIDO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</si>
</sst>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7" fontId="2" fillId="2" borderId="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44" fontId="2" fillId="2" borderId="1" xfId="1" applyFont="1" applyFill="1" applyBorder="1"/>
    <xf numFmtId="14" fontId="3" fillId="2" borderId="1" xfId="0" applyNumberFormat="1" applyFont="1" applyFill="1" applyBorder="1" applyAlignment="1">
      <alignment horizontal="center"/>
    </xf>
    <xf numFmtId="44" fontId="2" fillId="2" borderId="1" xfId="1" applyFont="1" applyFill="1" applyBorder="1" applyAlignment="1">
      <alignment wrapText="1"/>
    </xf>
    <xf numFmtId="1" fontId="3" fillId="2" borderId="1" xfId="1" applyNumberFormat="1" applyFont="1" applyFill="1" applyBorder="1" applyAlignment="1">
      <alignment horizontal="center"/>
    </xf>
    <xf numFmtId="44" fontId="0" fillId="2" borderId="1" xfId="2" applyNumberFormat="1" applyFont="1" applyFill="1" applyBorder="1"/>
    <xf numFmtId="10" fontId="0" fillId="2" borderId="1" xfId="2" applyNumberFormat="1" applyFont="1" applyFill="1" applyBorder="1"/>
    <xf numFmtId="44" fontId="0" fillId="0" borderId="0" xfId="1" applyFont="1"/>
    <xf numFmtId="44" fontId="4" fillId="2" borderId="2" xfId="1" applyFont="1" applyFill="1" applyBorder="1"/>
    <xf numFmtId="44" fontId="5" fillId="2" borderId="2" xfId="1" applyFont="1" applyFill="1" applyBorder="1"/>
    <xf numFmtId="0" fontId="6" fillId="0" borderId="0" xfId="0" applyFont="1"/>
    <xf numFmtId="44" fontId="4" fillId="3" borderId="2" xfId="1" applyFont="1" applyFill="1" applyBorder="1"/>
    <xf numFmtId="0" fontId="9" fillId="4" borderId="1" xfId="0" applyFont="1" applyFill="1" applyBorder="1" applyAlignment="1">
      <alignment horizontal="center" vertical="center" wrapText="1"/>
    </xf>
    <xf numFmtId="44" fontId="9" fillId="4" borderId="1" xfId="1" applyFont="1" applyFill="1" applyBorder="1" applyAlignment="1">
      <alignment horizontal="center" vertical="center" wrapText="1"/>
    </xf>
    <xf numFmtId="44" fontId="9" fillId="4" borderId="3" xfId="1" applyFont="1" applyFill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CC104-F766-46C3-A5F2-8A740A0EF877}">
  <dimension ref="A1:X4"/>
  <sheetViews>
    <sheetView tabSelected="1" workbookViewId="0">
      <selection activeCell="V16" sqref="V16"/>
    </sheetView>
  </sheetViews>
  <sheetFormatPr defaultRowHeight="15" x14ac:dyDescent="0.25"/>
  <cols>
    <col min="1" max="1" width="39.85546875" bestFit="1" customWidth="1"/>
    <col min="2" max="2" width="10.28515625" bestFit="1" customWidth="1"/>
    <col min="3" max="3" width="18.5703125" customWidth="1"/>
    <col min="4" max="4" width="17.42578125" customWidth="1"/>
    <col min="5" max="5" width="16.85546875" customWidth="1"/>
    <col min="6" max="6" width="17.5703125" customWidth="1"/>
    <col min="8" max="8" width="25.42578125" customWidth="1"/>
    <col min="9" max="9" width="18" customWidth="1"/>
    <col min="10" max="10" width="20.7109375" customWidth="1"/>
    <col min="11" max="11" width="12.42578125" customWidth="1"/>
    <col min="12" max="12" width="20.5703125" customWidth="1"/>
    <col min="15" max="15" width="16.42578125" customWidth="1"/>
    <col min="16" max="16" width="19.5703125" customWidth="1"/>
    <col min="17" max="17" width="15.85546875" customWidth="1"/>
    <col min="18" max="18" width="17.42578125" customWidth="1"/>
    <col min="21" max="21" width="14.42578125" customWidth="1"/>
    <col min="22" max="22" width="17.5703125" customWidth="1"/>
    <col min="24" max="24" width="15.28515625" customWidth="1"/>
  </cols>
  <sheetData>
    <row r="1" spans="1:24" ht="75" x14ac:dyDescent="0.25">
      <c r="A1" s="17" t="s">
        <v>5</v>
      </c>
      <c r="B1" s="17" t="s">
        <v>6</v>
      </c>
      <c r="C1" s="17" t="s">
        <v>7</v>
      </c>
      <c r="D1" s="17" t="s">
        <v>8</v>
      </c>
      <c r="E1" s="17" t="s">
        <v>9</v>
      </c>
      <c r="F1" s="17" t="s">
        <v>10</v>
      </c>
      <c r="G1" s="17" t="s">
        <v>11</v>
      </c>
      <c r="H1" s="18" t="s">
        <v>12</v>
      </c>
      <c r="I1" s="17" t="s">
        <v>13</v>
      </c>
      <c r="J1" s="18" t="s">
        <v>14</v>
      </c>
      <c r="K1" s="18" t="s">
        <v>15</v>
      </c>
      <c r="L1" s="18" t="s">
        <v>16</v>
      </c>
      <c r="M1" s="18" t="s">
        <v>17</v>
      </c>
      <c r="O1" s="19" t="s">
        <v>12</v>
      </c>
      <c r="P1" s="19" t="s">
        <v>18</v>
      </c>
      <c r="Q1" s="19" t="s">
        <v>19</v>
      </c>
      <c r="R1" s="19" t="s">
        <v>20</v>
      </c>
      <c r="S1" s="19" t="s">
        <v>21</v>
      </c>
      <c r="T1" s="19" t="s">
        <v>22</v>
      </c>
      <c r="U1" s="19" t="s">
        <v>23</v>
      </c>
      <c r="V1" s="19" t="s">
        <v>24</v>
      </c>
      <c r="X1" s="19" t="s">
        <v>14</v>
      </c>
    </row>
    <row r="2" spans="1:24" ht="15.75" x14ac:dyDescent="0.25">
      <c r="A2" s="1" t="s">
        <v>0</v>
      </c>
      <c r="B2" s="2">
        <v>9442480</v>
      </c>
      <c r="C2" s="3" t="s">
        <v>1</v>
      </c>
      <c r="D2" s="4">
        <v>45992</v>
      </c>
      <c r="E2" s="4">
        <f t="shared" ref="E2" si="0">F2</f>
        <v>46057</v>
      </c>
      <c r="F2" s="5">
        <v>46057</v>
      </c>
      <c r="G2" s="3">
        <v>22</v>
      </c>
      <c r="H2" s="6">
        <v>298276.56</v>
      </c>
      <c r="I2" s="7">
        <v>46083</v>
      </c>
      <c r="J2" s="8">
        <f>269343.73-50</f>
        <v>269293.73</v>
      </c>
      <c r="K2" s="9">
        <f t="shared" ref="K2:K4" ca="1" si="1">IF(J2="",TODAY()-F2,I2-F2)</f>
        <v>26</v>
      </c>
      <c r="L2" s="10">
        <f t="shared" ref="L2:L4" si="2">H2-J2</f>
        <v>28982.830000000016</v>
      </c>
      <c r="M2" s="11">
        <f t="shared" ref="M2:M4" si="3">L2/H2</f>
        <v>9.716764200311287E-2</v>
      </c>
      <c r="N2" s="12"/>
      <c r="O2" s="13">
        <f t="shared" ref="O2:O4" si="4">H2</f>
        <v>298276.56</v>
      </c>
      <c r="P2" s="14">
        <f>ROUND(298276.56*3%,2)</f>
        <v>8948.2999999999993</v>
      </c>
      <c r="Q2" s="14">
        <f>ROUND(298276.56*1.2%,2)</f>
        <v>3579.32</v>
      </c>
      <c r="R2" s="14">
        <f>ROUND(298276.56*11%*50%,2)</f>
        <v>16405.21</v>
      </c>
      <c r="S2" s="14"/>
      <c r="T2" s="14"/>
      <c r="U2" s="13">
        <f>SUM(P2:T2)</f>
        <v>28932.829999999998</v>
      </c>
      <c r="V2" s="13">
        <f>O2-U2</f>
        <v>269343.73</v>
      </c>
      <c r="W2" s="15"/>
      <c r="X2" s="16">
        <f t="shared" ref="X2" si="5">J2</f>
        <v>269293.73</v>
      </c>
    </row>
    <row r="3" spans="1:24" ht="15.75" x14ac:dyDescent="0.25">
      <c r="A3" s="1" t="s">
        <v>0</v>
      </c>
      <c r="B3" s="2">
        <v>9442480</v>
      </c>
      <c r="C3" s="3" t="s">
        <v>1</v>
      </c>
      <c r="D3" s="4">
        <v>46023</v>
      </c>
      <c r="E3" s="4">
        <f>F3</f>
        <v>46073</v>
      </c>
      <c r="F3" s="5">
        <v>46073</v>
      </c>
      <c r="G3" s="3">
        <v>76</v>
      </c>
      <c r="H3" s="6">
        <v>228368.59</v>
      </c>
      <c r="I3" s="7">
        <v>46083</v>
      </c>
      <c r="J3" s="8">
        <f>206216.84-50</f>
        <v>206166.84</v>
      </c>
      <c r="K3" s="9">
        <f t="shared" ca="1" si="1"/>
        <v>10</v>
      </c>
      <c r="L3" s="10">
        <f t="shared" si="2"/>
        <v>22201.75</v>
      </c>
      <c r="M3" s="11">
        <f t="shared" si="3"/>
        <v>9.7218930151471358E-2</v>
      </c>
      <c r="N3" s="12"/>
      <c r="O3" s="13">
        <f t="shared" si="4"/>
        <v>228368.59</v>
      </c>
      <c r="P3" s="14">
        <f>ROUND(O3*3%,2)</f>
        <v>6851.06</v>
      </c>
      <c r="Q3" s="14">
        <f t="shared" ref="Q3" si="6">ROUND(O3*1.2%,2)</f>
        <v>2740.42</v>
      </c>
      <c r="R3" s="14">
        <f>ROUND(O3*50%*11%,2)</f>
        <v>12560.27</v>
      </c>
      <c r="S3" s="14"/>
      <c r="T3" s="14"/>
      <c r="U3" s="13">
        <f t="shared" ref="U3" si="7">SUM(P3:T3)</f>
        <v>22151.75</v>
      </c>
      <c r="V3" s="13">
        <f t="shared" ref="V3" si="8">O3-U3</f>
        <v>206216.84</v>
      </c>
      <c r="W3" s="15"/>
      <c r="X3" s="16">
        <f>J3</f>
        <v>206166.84</v>
      </c>
    </row>
    <row r="4" spans="1:24" ht="15.75" x14ac:dyDescent="0.25">
      <c r="A4" s="1" t="s">
        <v>2</v>
      </c>
      <c r="B4" s="3" t="s">
        <v>3</v>
      </c>
      <c r="C4" s="3" t="s">
        <v>4</v>
      </c>
      <c r="D4" s="4">
        <v>46023</v>
      </c>
      <c r="E4" s="4">
        <f>F4</f>
        <v>46062</v>
      </c>
      <c r="F4" s="5">
        <v>46062</v>
      </c>
      <c r="G4" s="3">
        <v>28</v>
      </c>
      <c r="H4" s="6">
        <v>77299.89</v>
      </c>
      <c r="I4" s="7">
        <v>46083</v>
      </c>
      <c r="J4" s="8">
        <v>72507.3</v>
      </c>
      <c r="K4" s="9">
        <f t="shared" ca="1" si="1"/>
        <v>21</v>
      </c>
      <c r="L4" s="10">
        <f t="shared" si="2"/>
        <v>4792.5899999999965</v>
      </c>
      <c r="M4" s="11">
        <f t="shared" si="3"/>
        <v>6.1999958861519683E-2</v>
      </c>
      <c r="N4" s="12"/>
      <c r="O4" s="13">
        <f t="shared" si="4"/>
        <v>77299.89</v>
      </c>
      <c r="P4" s="14">
        <f>ROUND(O4*5%,2)</f>
        <v>3864.99</v>
      </c>
      <c r="Q4" s="14">
        <f>ROUND(O4*1.2%,2)</f>
        <v>927.6</v>
      </c>
      <c r="R4" s="14">
        <v>0</v>
      </c>
      <c r="S4" s="14"/>
      <c r="T4" s="14"/>
      <c r="U4" s="13">
        <f>SUM(P4:T4)</f>
        <v>4792.59</v>
      </c>
      <c r="V4" s="13">
        <f>O4-U4</f>
        <v>72507.3</v>
      </c>
      <c r="W4" s="15"/>
      <c r="X4" s="13">
        <f>J4</f>
        <v>72507.3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BDT Engenharia</dc:creator>
  <cp:lastModifiedBy>BDT Engenharia</cp:lastModifiedBy>
  <dcterms:created xsi:type="dcterms:W3CDTF">2026-03-03T14:33:15Z</dcterms:created>
  <dcterms:modified xsi:type="dcterms:W3CDTF">2026-03-03T16:13:00Z</dcterms:modified>
</cp:coreProperties>
</file>